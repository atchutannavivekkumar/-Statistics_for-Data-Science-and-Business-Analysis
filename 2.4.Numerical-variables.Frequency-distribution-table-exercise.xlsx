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ekkumar/Downloads/"/>
    </mc:Choice>
  </mc:AlternateContent>
  <xr:revisionPtr revIDLastSave="0" documentId="13_ncr:1_{B0FB9B3B-5467-DF40-9B17-D2F3C34E304B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Frequency distribution table" sheetId="10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0" l="1"/>
  <c r="H19" i="10"/>
  <c r="H20" i="10"/>
  <c r="H21" i="10"/>
  <c r="H22" i="10"/>
  <c r="H18" i="10"/>
  <c r="G24" i="10"/>
  <c r="G19" i="10"/>
  <c r="G20" i="10"/>
  <c r="G21" i="10"/>
  <c r="G22" i="10"/>
  <c r="G23" i="10"/>
  <c r="G18" i="10"/>
  <c r="E12" i="10"/>
  <c r="E14" i="10"/>
  <c r="E15" i="10" s="1"/>
  <c r="F18" i="10" s="1"/>
  <c r="E19" i="10" l="1"/>
  <c r="F19" i="10"/>
  <c r="F20" i="10" s="1"/>
  <c r="F21" i="10" s="1"/>
  <c r="F22" i="10" s="1"/>
  <c r="F23" i="10" s="1"/>
  <c r="E23" i="10"/>
  <c r="E22" i="10"/>
  <c r="E20" i="10"/>
  <c r="E21" i="10"/>
</calcChain>
</file>

<file path=xl/sharedStrings.xml><?xml version="1.0" encoding="utf-8"?>
<sst xmlns="http://schemas.openxmlformats.org/spreadsheetml/2006/main" count="20" uniqueCount="20">
  <si>
    <t>Numerical variables. Frequency distribution table</t>
  </si>
  <si>
    <t>Dataset</t>
  </si>
  <si>
    <t>Background</t>
  </si>
  <si>
    <t>You are given a dataset.</t>
  </si>
  <si>
    <t>Task 1</t>
  </si>
  <si>
    <t>Task 2</t>
  </si>
  <si>
    <t xml:space="preserve">Create a frequency distribution table that shows </t>
  </si>
  <si>
    <t xml:space="preserve">1. The intervals </t>
  </si>
  <si>
    <t>3. The relative frequency of each interval</t>
  </si>
  <si>
    <t>2. The absolute frequency of each interval</t>
  </si>
  <si>
    <t>Task 3</t>
  </si>
  <si>
    <t>Repeat task 1 and 2, but this time, use the exact interval width. Don't round up to the nearest whole number, that is.</t>
  </si>
  <si>
    <t>Given that we want to divide the numbers into 6 intervals of equal width, calculate that interval width. Round up to the nearest whole number, bigger than the result that you obtain</t>
  </si>
  <si>
    <t>difference</t>
  </si>
  <si>
    <t>intervals</t>
  </si>
  <si>
    <t>FREQUENCY(data_range, bin_range)</t>
  </si>
  <si>
    <t>start</t>
  </si>
  <si>
    <t xml:space="preserve">end </t>
  </si>
  <si>
    <t>frequency</t>
  </si>
  <si>
    <t xml:space="preserve">relative frequency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</si>
</sst>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 tint="0.34998626667073579"/>
      <name val="Arial"/>
      <family val="2"/>
    </font>
    <font>
      <b/>
      <sz val="12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10"/>
      <color rgb="FF002060"/>
      <name val="Arial"/>
      <family val="2"/>
    </font>
    <font>
      <b/>
      <sz val="9"/>
      <color theme="1"/>
      <name val="Arial"/>
      <family val="2"/>
    </font>
    <font>
      <b/>
      <sz val="9"/>
      <color rgb="FF0020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2" fontId="1" fillId="2" borderId="0" xfId="0" applyNumberFormat="1" applyFont="1" applyFill="1"/>
    <xf numFmtId="2" fontId="2" fillId="2" borderId="0" xfId="0" applyNumberFormat="1" applyFont="1" applyFill="1"/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7" fillId="2" borderId="0" xfId="0" applyFont="1" applyFill="1"/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2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1" fillId="2" borderId="4" xfId="0" applyFont="1" applyFill="1" applyBorder="1"/>
    <xf numFmtId="0" fontId="1" fillId="4" borderId="2" xfId="0" applyFont="1" applyFill="1" applyBorder="1" applyAlignment="1">
      <alignment horizontal="center" vertical="center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8"/>
  <sheetViews>
    <sheetView tabSelected="1" zoomScale="102" zoomScaleNormal="102" workbookViewId="0">
      <selection activeCell="E29" sqref="E29"/>
    </sheetView>
  </sheetViews>
  <sheetFormatPr baseColWidth="10" defaultColWidth="8.83203125" defaultRowHeight="12" x14ac:dyDescent="0.15"/>
  <cols>
    <col min="1" max="1" width="2" style="3" customWidth="1"/>
    <col min="2" max="2" width="9.83203125" style="3" customWidth="1"/>
    <col min="3" max="3" width="9.1640625" style="3" customWidth="1"/>
    <col min="4" max="4" width="13.5" style="3" customWidth="1"/>
    <col min="5" max="5" width="14.83203125" style="5" customWidth="1"/>
    <col min="6" max="6" width="16.1640625" style="5" bestFit="1" customWidth="1"/>
    <col min="7" max="7" width="15.83203125" style="5" bestFit="1" customWidth="1"/>
    <col min="8" max="8" width="15.83203125" style="5" customWidth="1"/>
    <col min="9" max="9" width="15.6640625" style="3" customWidth="1"/>
    <col min="10" max="10" width="11" style="3" bestFit="1" customWidth="1"/>
    <col min="11" max="11" width="16.1640625" style="3" bestFit="1" customWidth="1"/>
    <col min="12" max="12" width="15.83203125" style="3" bestFit="1" customWidth="1"/>
    <col min="13" max="19" width="8.83203125" style="3"/>
    <col min="20" max="20" width="10.5" style="3" customWidth="1"/>
    <col min="21" max="16384" width="8.83203125" style="3"/>
  </cols>
  <sheetData>
    <row r="1" spans="2:17" ht="16" x14ac:dyDescent="0.2">
      <c r="B1" s="4" t="s">
        <v>0</v>
      </c>
    </row>
    <row r="3" spans="2:17" x14ac:dyDescent="0.15">
      <c r="B3" s="8" t="s">
        <v>2</v>
      </c>
      <c r="C3" s="3" t="s">
        <v>3</v>
      </c>
    </row>
    <row r="4" spans="2:17" x14ac:dyDescent="0.15">
      <c r="B4" s="8" t="s">
        <v>4</v>
      </c>
      <c r="C4" s="3" t="s">
        <v>12</v>
      </c>
    </row>
    <row r="5" spans="2:17" x14ac:dyDescent="0.15">
      <c r="B5" s="8" t="s">
        <v>5</v>
      </c>
      <c r="C5" s="3" t="s">
        <v>6</v>
      </c>
    </row>
    <row r="6" spans="2:17" x14ac:dyDescent="0.15">
      <c r="D6" s="3" t="s">
        <v>7</v>
      </c>
    </row>
    <row r="7" spans="2:17" x14ac:dyDescent="0.15">
      <c r="D7" s="3" t="s">
        <v>9</v>
      </c>
    </row>
    <row r="8" spans="2:17" x14ac:dyDescent="0.15">
      <c r="D8" s="3" t="s">
        <v>8</v>
      </c>
    </row>
    <row r="9" spans="2:17" x14ac:dyDescent="0.15">
      <c r="B9" s="8" t="s">
        <v>10</v>
      </c>
      <c r="C9" s="3" t="s">
        <v>11</v>
      </c>
      <c r="Q9" s="1"/>
    </row>
    <row r="10" spans="2:17" x14ac:dyDescent="0.15">
      <c r="Q10" s="1"/>
    </row>
    <row r="11" spans="2:17" ht="13" thickBot="1" x14ac:dyDescent="0.2">
      <c r="Q11" s="1"/>
    </row>
    <row r="12" spans="2:17" ht="13" thickBot="1" x14ac:dyDescent="0.2">
      <c r="B12" s="6" t="s">
        <v>1</v>
      </c>
      <c r="D12" s="33" t="s">
        <v>13</v>
      </c>
      <c r="E12" s="25">
        <f>B32-B13</f>
        <v>274</v>
      </c>
      <c r="Q12" s="1"/>
    </row>
    <row r="13" spans="2:17" ht="13" thickBot="1" x14ac:dyDescent="0.2">
      <c r="B13" s="3">
        <v>8</v>
      </c>
      <c r="D13" s="31" t="s">
        <v>14</v>
      </c>
      <c r="E13" s="25">
        <v>6</v>
      </c>
      <c r="Q13" s="2"/>
    </row>
    <row r="14" spans="2:17" ht="16" thickBot="1" x14ac:dyDescent="0.25">
      <c r="B14" s="3">
        <v>30</v>
      </c>
      <c r="E14" s="32">
        <f>E12/E13</f>
        <v>45.666666666666664</v>
      </c>
      <c r="G14" s="29" t="s">
        <v>15</v>
      </c>
      <c r="H14" s="30"/>
      <c r="Q14" s="2"/>
    </row>
    <row r="15" spans="2:17" ht="13" thickBot="1" x14ac:dyDescent="0.2">
      <c r="B15" s="3">
        <v>30</v>
      </c>
      <c r="E15" s="24">
        <f>ROUND(E14,0)</f>
        <v>46</v>
      </c>
      <c r="G15" s="30"/>
      <c r="H15" s="30"/>
      <c r="I15" s="8"/>
      <c r="Q15" s="2"/>
    </row>
    <row r="16" spans="2:17" ht="13" thickBot="1" x14ac:dyDescent="0.2">
      <c r="B16" s="3">
        <v>54</v>
      </c>
      <c r="Q16" s="2"/>
    </row>
    <row r="17" spans="2:17" ht="14" thickBot="1" x14ac:dyDescent="0.2">
      <c r="B17" s="3">
        <v>86</v>
      </c>
      <c r="D17" s="9"/>
      <c r="E17" s="25" t="s">
        <v>16</v>
      </c>
      <c r="F17" s="26" t="s">
        <v>17</v>
      </c>
      <c r="G17" s="25" t="s">
        <v>18</v>
      </c>
      <c r="H17" s="27" t="s">
        <v>19</v>
      </c>
      <c r="I17" s="9"/>
      <c r="J17" s="5"/>
      <c r="K17" s="5"/>
      <c r="L17" s="5"/>
      <c r="Q17" s="2"/>
    </row>
    <row r="18" spans="2:17" x14ac:dyDescent="0.15">
      <c r="B18" s="3">
        <v>94</v>
      </c>
      <c r="D18" s="5"/>
      <c r="E18" s="21">
        <v>1</v>
      </c>
      <c r="F18" s="16">
        <f>E15</f>
        <v>46</v>
      </c>
      <c r="G18" s="21">
        <f>COUNTIFS($B$13:$B$32, "&gt;"&amp;E18, $B$13:$B$32, "&lt;="&amp;F18)</f>
        <v>3</v>
      </c>
      <c r="H18" s="17">
        <f>G18/$G$24</f>
        <v>0.15</v>
      </c>
      <c r="I18" s="5"/>
      <c r="J18" s="5"/>
      <c r="K18" s="5"/>
      <c r="L18" s="5"/>
      <c r="Q18" s="2"/>
    </row>
    <row r="19" spans="2:17" x14ac:dyDescent="0.15">
      <c r="B19" s="3">
        <v>102</v>
      </c>
      <c r="C19" s="7"/>
      <c r="D19" s="7"/>
      <c r="E19" s="22">
        <f>F18</f>
        <v>46</v>
      </c>
      <c r="F19" s="18">
        <f>F18+55</f>
        <v>101</v>
      </c>
      <c r="G19" s="21">
        <f t="shared" ref="G19:G23" si="0">COUNTIFS($B$13:$B$32, "&gt;"&amp;E19, $B$13:$B$32, "&lt;="&amp;F19)</f>
        <v>3</v>
      </c>
      <c r="H19" s="17">
        <f t="shared" ref="H19:H22" si="1">G19/$G$24</f>
        <v>0.15</v>
      </c>
      <c r="I19" s="7"/>
      <c r="J19" s="10"/>
      <c r="K19" s="11"/>
      <c r="L19" s="5"/>
    </row>
    <row r="20" spans="2:17" x14ac:dyDescent="0.15">
      <c r="B20" s="3">
        <v>110</v>
      </c>
      <c r="D20" s="7"/>
      <c r="E20" s="22">
        <f t="shared" ref="E20:E23" si="2">F19</f>
        <v>101</v>
      </c>
      <c r="F20" s="18">
        <f>F19+55</f>
        <v>156</v>
      </c>
      <c r="G20" s="21">
        <f t="shared" si="0"/>
        <v>2</v>
      </c>
      <c r="H20" s="17">
        <f t="shared" si="1"/>
        <v>0.1</v>
      </c>
      <c r="I20" s="7"/>
      <c r="J20" s="12"/>
      <c r="K20" s="5"/>
      <c r="L20" s="5"/>
    </row>
    <row r="21" spans="2:17" x14ac:dyDescent="0.15">
      <c r="B21" s="3">
        <v>169</v>
      </c>
      <c r="D21" s="5"/>
      <c r="E21" s="22">
        <f t="shared" si="2"/>
        <v>156</v>
      </c>
      <c r="F21" s="18">
        <f>F20+55</f>
        <v>211</v>
      </c>
      <c r="G21" s="21">
        <f t="shared" si="0"/>
        <v>3</v>
      </c>
      <c r="H21" s="17">
        <f t="shared" si="1"/>
        <v>0.15</v>
      </c>
      <c r="I21" s="5"/>
      <c r="J21" s="5"/>
      <c r="K21" s="5"/>
      <c r="L21" s="5"/>
    </row>
    <row r="22" spans="2:17" x14ac:dyDescent="0.15">
      <c r="B22" s="3">
        <v>170</v>
      </c>
      <c r="D22" s="7"/>
      <c r="E22" s="22">
        <f t="shared" si="2"/>
        <v>211</v>
      </c>
      <c r="F22" s="18">
        <f>F21+55</f>
        <v>266</v>
      </c>
      <c r="G22" s="21">
        <f t="shared" si="0"/>
        <v>6</v>
      </c>
      <c r="H22" s="17">
        <f t="shared" si="1"/>
        <v>0.3</v>
      </c>
      <c r="I22" s="7"/>
      <c r="J22" s="7"/>
      <c r="K22" s="7"/>
      <c r="L22" s="7"/>
    </row>
    <row r="23" spans="2:17" ht="13" thickBot="1" x14ac:dyDescent="0.2">
      <c r="B23" s="3">
        <v>176</v>
      </c>
      <c r="D23" s="13"/>
      <c r="E23" s="23">
        <f t="shared" si="2"/>
        <v>266</v>
      </c>
      <c r="F23" s="19">
        <f>F22+55</f>
        <v>321</v>
      </c>
      <c r="G23" s="24">
        <f t="shared" si="0"/>
        <v>3</v>
      </c>
      <c r="H23" s="20">
        <f>G23/$G$24</f>
        <v>0.15</v>
      </c>
      <c r="I23" s="14"/>
      <c r="J23" s="14"/>
      <c r="K23" s="13"/>
      <c r="L23" s="14"/>
    </row>
    <row r="24" spans="2:17" x14ac:dyDescent="0.15">
      <c r="B24" s="3">
        <v>236</v>
      </c>
      <c r="D24" s="13"/>
      <c r="E24" s="13"/>
      <c r="F24" s="13"/>
      <c r="G24" s="28">
        <f>SUM(G18:G23)</f>
        <v>20</v>
      </c>
      <c r="I24" s="14"/>
      <c r="J24" s="14"/>
      <c r="K24" s="13"/>
      <c r="L24" s="14"/>
    </row>
    <row r="25" spans="2:17" x14ac:dyDescent="0.15">
      <c r="B25" s="3">
        <v>240</v>
      </c>
      <c r="D25" s="13"/>
      <c r="E25" s="13"/>
      <c r="F25" s="13"/>
      <c r="G25" s="14"/>
      <c r="I25" s="14"/>
      <c r="J25" s="14"/>
      <c r="K25" s="13"/>
      <c r="L25" s="14"/>
    </row>
    <row r="26" spans="2:17" x14ac:dyDescent="0.15">
      <c r="B26" s="3">
        <v>241</v>
      </c>
      <c r="D26" s="13"/>
      <c r="E26" s="13"/>
      <c r="F26" s="13"/>
      <c r="G26" s="14"/>
      <c r="I26" s="14"/>
      <c r="J26" s="14"/>
      <c r="K26" s="13"/>
      <c r="L26" s="14"/>
    </row>
    <row r="27" spans="2:17" x14ac:dyDescent="0.15">
      <c r="B27" s="3">
        <v>242</v>
      </c>
      <c r="D27" s="13"/>
      <c r="E27" s="13"/>
      <c r="F27" s="13"/>
      <c r="G27" s="14"/>
      <c r="I27" s="14"/>
      <c r="J27" s="14"/>
      <c r="K27" s="13"/>
      <c r="L27" s="14"/>
    </row>
    <row r="28" spans="2:17" x14ac:dyDescent="0.15">
      <c r="B28" s="3">
        <v>255</v>
      </c>
      <c r="D28" s="13"/>
      <c r="E28" s="13"/>
      <c r="F28" s="13"/>
      <c r="G28" s="14"/>
      <c r="I28" s="14"/>
      <c r="J28" s="14"/>
      <c r="K28" s="13"/>
      <c r="L28" s="14"/>
    </row>
    <row r="29" spans="2:17" x14ac:dyDescent="0.15">
      <c r="B29" s="3">
        <v>262</v>
      </c>
    </row>
    <row r="30" spans="2:17" x14ac:dyDescent="0.15">
      <c r="B30" s="3">
        <v>276</v>
      </c>
    </row>
    <row r="31" spans="2:17" x14ac:dyDescent="0.15">
      <c r="B31" s="3">
        <v>279</v>
      </c>
    </row>
    <row r="32" spans="2:17" x14ac:dyDescent="0.15">
      <c r="B32" s="3">
        <v>282</v>
      </c>
    </row>
    <row r="33" spans="5:5" x14ac:dyDescent="0.15">
      <c r="E33" s="15"/>
    </row>
    <row r="34" spans="5:5" x14ac:dyDescent="0.15">
      <c r="E34" s="15"/>
    </row>
    <row r="35" spans="5:5" x14ac:dyDescent="0.15">
      <c r="E35" s="15"/>
    </row>
    <row r="37" spans="5:5" x14ac:dyDescent="0.15">
      <c r="E37" s="15"/>
    </row>
    <row r="38" spans="5:5" x14ac:dyDescent="0.15">
      <c r="E38" s="15"/>
    </row>
  </sheetData>
  <sortState xmlns:xlrd2="http://schemas.microsoft.com/office/spreadsheetml/2017/richdata2" ref="B13:B32">
    <sortCondition ref="B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Frequency distribution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Vivek Kumar Koundinya Atchutanna</cp:lastModifiedBy>
  <dcterms:created xsi:type="dcterms:W3CDTF">2017-04-19T06:27:11Z</dcterms:created>
  <dcterms:modified xsi:type="dcterms:W3CDTF">2026-06-06T02:35:45Z</dcterms:modified>
</cp:coreProperties>
</file>