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A9A09C77-48AA-FD48-812F-A6F378E723B3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Variance" sheetId="9" r:id="rId1"/>
  </sheets>
  <calcPr calcId="191029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9" l="1"/>
  <c r="G17" i="9"/>
  <c r="D15" i="9" l="1"/>
  <c r="D17" i="9"/>
  <c r="D12" i="9"/>
  <c r="C13" i="9"/>
  <c r="D13" i="9" s="1"/>
  <c r="C14" i="9"/>
  <c r="D14" i="9" s="1"/>
  <c r="C15" i="9"/>
  <c r="C16" i="9"/>
  <c r="D16" i="9" s="1"/>
  <c r="C17" i="9"/>
  <c r="C18" i="9"/>
  <c r="D18" i="9" s="1"/>
  <c r="C19" i="9"/>
  <c r="D19" i="9" s="1"/>
  <c r="C20" i="9"/>
  <c r="D20" i="9" s="1"/>
  <c r="C21" i="9"/>
  <c r="D21" i="9" s="1"/>
  <c r="C22" i="9"/>
  <c r="D22" i="9" s="1"/>
  <c r="C12" i="9"/>
  <c r="G9" i="9"/>
  <c r="D23" i="9" l="1"/>
  <c r="G13" i="9" s="1"/>
</calcChain>
</file>

<file path=xl/sharedStrings.xml><?xml version="1.0" encoding="utf-8"?>
<sst xmlns="http://schemas.openxmlformats.org/spreadsheetml/2006/main" count="17" uniqueCount="17">
  <si>
    <t>Mean</t>
  </si>
  <si>
    <t>Average income in the United States</t>
  </si>
  <si>
    <t>Background</t>
  </si>
  <si>
    <t>Task 1</t>
  </si>
  <si>
    <t>Task 2</t>
  </si>
  <si>
    <t>Annual income</t>
  </si>
  <si>
    <t>Calculate the variance of their income</t>
  </si>
  <si>
    <t>Variance</t>
  </si>
  <si>
    <t>Decide whether you have to use sample or population formula for the variance</t>
  </si>
  <si>
    <t>Task 3</t>
  </si>
  <si>
    <t>Generally, what does this number tell you?</t>
  </si>
  <si>
    <t>You have the annual personal income of 11 people from the USA. You have the mean income from the exercise on mean, median and mode</t>
  </si>
  <si>
    <t>self- variance</t>
  </si>
  <si>
    <t xml:space="preserve">squred </t>
  </si>
  <si>
    <t>varience</t>
  </si>
  <si>
    <t>for population</t>
  </si>
  <si>
    <t xml:space="preserve">for 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</si>
</sst>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&quot;$&quot;\²\ 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2" fillId="2" borderId="0" xfId="1" applyFont="1" applyFill="1"/>
    <xf numFmtId="164" fontId="2" fillId="2" borderId="1" xfId="1" applyFont="1" applyFill="1" applyBorder="1"/>
    <xf numFmtId="0" fontId="4" fillId="2" borderId="0" xfId="0" applyFont="1" applyFill="1" applyAlignment="1">
      <alignment horizontal="right"/>
    </xf>
    <xf numFmtId="164" fontId="2" fillId="2" borderId="0" xfId="1" applyFont="1" applyFill="1" applyBorder="1"/>
    <xf numFmtId="0" fontId="5" fillId="2" borderId="0" xfId="0" applyFont="1" applyFill="1" applyAlignment="1">
      <alignment horizontal="left"/>
    </xf>
    <xf numFmtId="165" fontId="2" fillId="2" borderId="0" xfId="1" applyNumberFormat="1" applyFont="1" applyFill="1"/>
    <xf numFmtId="43" fontId="2" fillId="2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tabSelected="1" zoomScaleNormal="100" workbookViewId="0">
      <selection activeCell="I13" sqref="I13"/>
    </sheetView>
  </sheetViews>
  <sheetFormatPr baseColWidth="10" defaultColWidth="8.83203125" defaultRowHeight="12" x14ac:dyDescent="0.15"/>
  <cols>
    <col min="1" max="1" width="2" style="1" customWidth="1"/>
    <col min="2" max="2" width="14.83203125" style="1" customWidth="1"/>
    <col min="3" max="3" width="14" style="1" bestFit="1" customWidth="1"/>
    <col min="4" max="4" width="10.33203125" style="1" bestFit="1" customWidth="1"/>
    <col min="5" max="5" width="10.83203125" style="1" customWidth="1"/>
    <col min="6" max="6" width="10.83203125" style="1" bestFit="1" customWidth="1"/>
    <col min="7" max="7" width="12.6640625" style="1" customWidth="1"/>
    <col min="8" max="8" width="9" style="1" customWidth="1"/>
    <col min="9" max="9" width="18.1640625" style="1" bestFit="1" customWidth="1"/>
    <col min="10" max="10" width="18.6640625" style="1" bestFit="1" customWidth="1"/>
    <col min="11" max="16384" width="8.83203125" style="1"/>
  </cols>
  <sheetData>
    <row r="1" spans="2:9" ht="16" x14ac:dyDescent="0.2">
      <c r="B1" s="2" t="s">
        <v>7</v>
      </c>
    </row>
    <row r="2" spans="2:9" x14ac:dyDescent="0.15">
      <c r="B2" s="3" t="s">
        <v>1</v>
      </c>
    </row>
    <row r="3" spans="2:9" x14ac:dyDescent="0.15">
      <c r="B3" s="3"/>
    </row>
    <row r="4" spans="2:9" x14ac:dyDescent="0.15">
      <c r="B4" s="3" t="s">
        <v>2</v>
      </c>
      <c r="C4" s="1" t="s">
        <v>11</v>
      </c>
    </row>
    <row r="5" spans="2:9" x14ac:dyDescent="0.15">
      <c r="B5" s="3" t="s">
        <v>3</v>
      </c>
      <c r="C5" s="1" t="s">
        <v>8</v>
      </c>
    </row>
    <row r="6" spans="2:9" x14ac:dyDescent="0.15">
      <c r="B6" s="3" t="s">
        <v>4</v>
      </c>
      <c r="C6" s="1" t="s">
        <v>6</v>
      </c>
    </row>
    <row r="7" spans="2:9" x14ac:dyDescent="0.15">
      <c r="B7" s="3" t="s">
        <v>9</v>
      </c>
      <c r="C7" s="1" t="s">
        <v>10</v>
      </c>
    </row>
    <row r="8" spans="2:9" x14ac:dyDescent="0.15">
      <c r="B8" s="3"/>
    </row>
    <row r="9" spans="2:9" x14ac:dyDescent="0.15">
      <c r="B9" s="3"/>
      <c r="F9" s="3" t="s">
        <v>0</v>
      </c>
      <c r="G9" s="4">
        <f>AVERAGE(B12:B22)</f>
        <v>189848.18181818182</v>
      </c>
    </row>
    <row r="11" spans="2:9" ht="13" thickBot="1" x14ac:dyDescent="0.2">
      <c r="B11" s="11" t="s">
        <v>5</v>
      </c>
      <c r="C11" s="12" t="s">
        <v>12</v>
      </c>
      <c r="D11" s="12" t="s">
        <v>13</v>
      </c>
      <c r="G11" s="6"/>
      <c r="H11" s="8"/>
    </row>
    <row r="12" spans="2:9" x14ac:dyDescent="0.15">
      <c r="B12" s="4">
        <v>62000</v>
      </c>
      <c r="C12" s="10">
        <f>B12-$G$9</f>
        <v>-127848.18181818182</v>
      </c>
      <c r="D12" s="1">
        <f>C12*C12</f>
        <v>16345157594.214878</v>
      </c>
      <c r="H12" s="7"/>
    </row>
    <row r="13" spans="2:9" x14ac:dyDescent="0.15">
      <c r="B13" s="4">
        <v>64000</v>
      </c>
      <c r="C13" s="10">
        <f>B13-$G$9</f>
        <v>-125848.18181818182</v>
      </c>
      <c r="D13" s="1">
        <f t="shared" ref="D13:D22" si="0">C13*C13</f>
        <v>15837764866.94215</v>
      </c>
      <c r="F13" s="3" t="s">
        <v>14</v>
      </c>
      <c r="G13" s="13">
        <f>D23/11</f>
        <v>121303099578.51239</v>
      </c>
      <c r="H13" s="7" t="s">
        <v>15</v>
      </c>
      <c r="I13" s="1">
        <f>_xlfn.VAR.S(B12:B22)</f>
        <v>133433409536.36362</v>
      </c>
    </row>
    <row r="14" spans="2:9" x14ac:dyDescent="0.15">
      <c r="B14" s="4">
        <v>49000</v>
      </c>
      <c r="C14" s="10">
        <f>B14-$G$9</f>
        <v>-140848.18181818182</v>
      </c>
      <c r="D14" s="1">
        <f t="shared" si="0"/>
        <v>19838210321.487606</v>
      </c>
      <c r="F14" s="3"/>
      <c r="G14" s="6"/>
      <c r="H14" s="3"/>
      <c r="I14" s="9"/>
    </row>
    <row r="15" spans="2:9" x14ac:dyDescent="0.15">
      <c r="B15" s="4">
        <v>324000</v>
      </c>
      <c r="C15" s="10">
        <f>B15-$G$9</f>
        <v>134151.81818181818</v>
      </c>
      <c r="D15" s="1">
        <f t="shared" si="0"/>
        <v>17996710321.487602</v>
      </c>
    </row>
    <row r="16" spans="2:9" x14ac:dyDescent="0.15">
      <c r="B16" s="4">
        <v>1264000</v>
      </c>
      <c r="C16" s="10">
        <f>B16-$G$9</f>
        <v>1074151.8181818181</v>
      </c>
      <c r="D16" s="1">
        <f t="shared" si="0"/>
        <v>1153802128503.3057</v>
      </c>
      <c r="G16" s="6"/>
    </row>
    <row r="17" spans="2:8" x14ac:dyDescent="0.15">
      <c r="B17" s="4">
        <v>54330</v>
      </c>
      <c r="C17" s="10">
        <f>B17-$G$9</f>
        <v>-135518.18181818182</v>
      </c>
      <c r="D17" s="1">
        <f t="shared" si="0"/>
        <v>18365177603.305786</v>
      </c>
      <c r="G17" s="1">
        <f>D23/10</f>
        <v>133433409536.36362</v>
      </c>
      <c r="H17" s="1" t="s">
        <v>16</v>
      </c>
    </row>
    <row r="18" spans="2:8" x14ac:dyDescent="0.15">
      <c r="B18" s="4">
        <v>64000</v>
      </c>
      <c r="C18" s="10">
        <f>B18-$G$9</f>
        <v>-125848.18181818182</v>
      </c>
      <c r="D18" s="1">
        <f t="shared" si="0"/>
        <v>15837764866.94215</v>
      </c>
    </row>
    <row r="19" spans="2:8" x14ac:dyDescent="0.15">
      <c r="B19" s="4">
        <v>51000</v>
      </c>
      <c r="C19" s="10">
        <f>B19-$G$9</f>
        <v>-138848.18181818182</v>
      </c>
      <c r="D19" s="1">
        <f t="shared" si="0"/>
        <v>19278817594.214878</v>
      </c>
    </row>
    <row r="20" spans="2:8" x14ac:dyDescent="0.15">
      <c r="B20" s="4">
        <v>55000</v>
      </c>
      <c r="C20" s="10">
        <f>B20-$G$9</f>
        <v>-134848.18181818182</v>
      </c>
      <c r="D20" s="1">
        <f t="shared" si="0"/>
        <v>18184032139.669422</v>
      </c>
    </row>
    <row r="21" spans="2:8" x14ac:dyDescent="0.15">
      <c r="B21" s="4">
        <v>48000</v>
      </c>
      <c r="C21" s="10">
        <f>B21-$G$9</f>
        <v>-141848.18181818182</v>
      </c>
      <c r="D21" s="1">
        <f t="shared" si="0"/>
        <v>20120906685.12397</v>
      </c>
    </row>
    <row r="22" spans="2:8" ht="13" thickBot="1" x14ac:dyDescent="0.2">
      <c r="B22" s="5">
        <v>53000</v>
      </c>
      <c r="C22" s="10">
        <f>B22-$G$9</f>
        <v>-136848.18181818182</v>
      </c>
      <c r="D22" s="1">
        <f t="shared" si="0"/>
        <v>18727424866.94215</v>
      </c>
    </row>
    <row r="23" spans="2:8" x14ac:dyDescent="0.15">
      <c r="D23" s="1">
        <f>SUM(D12:D22)</f>
        <v>1334334095363.6362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2017-04-19T13:21:25Z</dcterms:created>
  <dcterms:modified xsi:type="dcterms:W3CDTF">2026-06-07T15:41:58Z</dcterms:modified>
</cp:coreProperties>
</file>