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filterPrivacy="1"/>
  <xr:revisionPtr revIDLastSave="0" documentId="13_ncr:1_{B5A7F89F-F306-AC41-B44F-22195F744979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CI, indep, var k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9" i="1"/>
  <c r="E15" i="1"/>
  <c r="D15" i="1"/>
  <c r="C15" i="1"/>
  <c r="E11" i="1"/>
  <c r="E12" i="1"/>
</calcChain>
</file>

<file path=xl/sharedStrings.xml><?xml version="1.0" encoding="utf-8"?>
<sst xmlns="http://schemas.openxmlformats.org/spreadsheetml/2006/main" count="15" uniqueCount="15">
  <si>
    <t>Engineering</t>
  </si>
  <si>
    <t>Management</t>
  </si>
  <si>
    <t>University example</t>
  </si>
  <si>
    <t>Size</t>
  </si>
  <si>
    <t>Population std</t>
  </si>
  <si>
    <t>Difference</t>
  </si>
  <si>
    <t>?</t>
  </si>
  <si>
    <t>Confidence interval for the difference of two means. Independent samples, variance known</t>
  </si>
  <si>
    <t>Sample mean</t>
  </si>
  <si>
    <t>Background</t>
  </si>
  <si>
    <t>You have the dataset from the lesson.</t>
  </si>
  <si>
    <t>Task 1</t>
  </si>
  <si>
    <t>Calculate the 99% confidence interval</t>
  </si>
  <si>
    <t>Task 2</t>
  </si>
  <si>
    <t>Compare it to the 95% confidence interval from the lesson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</si>
</sst>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9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right"/>
    </xf>
    <xf numFmtId="2" fontId="2" fillId="2" borderId="0" xfId="0" applyNumberFormat="1" applyFont="1" applyFill="1"/>
    <xf numFmtId="0" fontId="1" fillId="2" borderId="1" xfId="0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9" fontId="1" fillId="2" borderId="0" xfId="0" applyNumberFormat="1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"/>
  <sheetViews>
    <sheetView tabSelected="1" zoomScale="96" zoomScaleNormal="96" workbookViewId="0">
      <selection activeCell="C24" activeCellId="1" sqref="I12 C24"/>
    </sheetView>
  </sheetViews>
  <sheetFormatPr baseColWidth="10" defaultColWidth="8.83203125" defaultRowHeight="12" x14ac:dyDescent="0.15"/>
  <cols>
    <col min="1" max="1" width="2" style="2" customWidth="1"/>
    <col min="2" max="2" width="12.1640625" style="2" customWidth="1"/>
    <col min="3" max="3" width="10.83203125" style="2" bestFit="1" customWidth="1"/>
    <col min="4" max="4" width="11.33203125" style="2" bestFit="1" customWidth="1"/>
    <col min="5" max="5" width="11" style="2" bestFit="1" customWidth="1"/>
    <col min="6" max="7" width="8.83203125" style="2"/>
    <col min="8" max="8" width="5.6640625" style="2" bestFit="1" customWidth="1"/>
    <col min="9" max="9" width="6.5" style="2" bestFit="1" customWidth="1"/>
    <col min="10" max="16384" width="8.83203125" style="2"/>
  </cols>
  <sheetData>
    <row r="1" spans="2:14" ht="16" x14ac:dyDescent="0.2">
      <c r="B1" s="4" t="s">
        <v>7</v>
      </c>
    </row>
    <row r="2" spans="2:14" x14ac:dyDescent="0.15">
      <c r="B2" s="1" t="s">
        <v>2</v>
      </c>
    </row>
    <row r="4" spans="2:14" x14ac:dyDescent="0.15">
      <c r="B4" s="1" t="s">
        <v>9</v>
      </c>
      <c r="C4" s="2" t="s">
        <v>10</v>
      </c>
      <c r="M4" s="14"/>
      <c r="N4" s="14"/>
    </row>
    <row r="5" spans="2:14" x14ac:dyDescent="0.15">
      <c r="B5" s="1" t="s">
        <v>11</v>
      </c>
      <c r="C5" s="2" t="s">
        <v>12</v>
      </c>
      <c r="M5" s="11"/>
      <c r="N5" s="11"/>
    </row>
    <row r="6" spans="2:14" x14ac:dyDescent="0.15">
      <c r="B6" s="1" t="s">
        <v>13</v>
      </c>
      <c r="C6" s="2" t="s">
        <v>14</v>
      </c>
      <c r="M6" s="11"/>
      <c r="N6" s="11"/>
    </row>
    <row r="7" spans="2:14" x14ac:dyDescent="0.15">
      <c r="B7" s="1"/>
      <c r="M7" s="11"/>
      <c r="N7" s="11"/>
    </row>
    <row r="8" spans="2:14" x14ac:dyDescent="0.15">
      <c r="M8" s="3"/>
      <c r="N8" s="3"/>
    </row>
    <row r="9" spans="2:14" ht="13" thickBot="1" x14ac:dyDescent="0.2">
      <c r="B9" s="6"/>
      <c r="C9" s="6" t="s">
        <v>0</v>
      </c>
      <c r="D9" s="6" t="s">
        <v>1</v>
      </c>
      <c r="E9" s="6" t="s">
        <v>5</v>
      </c>
      <c r="G9" s="1"/>
      <c r="I9" s="7">
        <f>E11+1.96*(E15)</f>
        <v>-4.34</v>
      </c>
    </row>
    <row r="10" spans="2:14" x14ac:dyDescent="0.15">
      <c r="B10" s="1" t="s">
        <v>3</v>
      </c>
      <c r="C10" s="2">
        <v>100</v>
      </c>
      <c r="D10" s="2">
        <v>70</v>
      </c>
      <c r="E10" s="5" t="s">
        <v>6</v>
      </c>
    </row>
    <row r="11" spans="2:14" x14ac:dyDescent="0.15">
      <c r="B11" s="1" t="s">
        <v>8</v>
      </c>
      <c r="C11" s="2">
        <v>58</v>
      </c>
      <c r="D11" s="2">
        <v>65</v>
      </c>
      <c r="E11" s="7">
        <f>C11-D11</f>
        <v>-7</v>
      </c>
      <c r="G11" s="12"/>
      <c r="H11" s="12"/>
      <c r="I11" s="7">
        <f>E11-1.96*(E15)</f>
        <v>-9.66</v>
      </c>
    </row>
    <row r="12" spans="2:14" x14ac:dyDescent="0.15">
      <c r="B12" s="8" t="s">
        <v>4</v>
      </c>
      <c r="C12" s="9">
        <v>10</v>
      </c>
      <c r="D12" s="9">
        <v>5</v>
      </c>
      <c r="E12" s="10">
        <f>SQRT((C12*C12/C10+D12*D12/D10))</f>
        <v>1.1649647450214351</v>
      </c>
      <c r="G12" s="13"/>
      <c r="H12" s="7"/>
      <c r="I12" s="7"/>
    </row>
    <row r="14" spans="2:14" x14ac:dyDescent="0.15">
      <c r="B14" s="1"/>
    </row>
    <row r="15" spans="2:14" x14ac:dyDescent="0.15">
      <c r="B15" s="1"/>
      <c r="C15" s="2">
        <f>((C12)^2)/C10</f>
        <v>1</v>
      </c>
      <c r="D15" s="2">
        <f>((D12)^2)/D10</f>
        <v>0.35714285714285715</v>
      </c>
      <c r="E15" s="2">
        <f>C15+D15</f>
        <v>1.3571428571428572</v>
      </c>
    </row>
  </sheetData>
  <mergeCells count="1">
    <mergeCell ref="M4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CI, indep, var 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2026-06-12T21:49:22Z</dcterms:modified>
</cp:coreProperties>
</file>