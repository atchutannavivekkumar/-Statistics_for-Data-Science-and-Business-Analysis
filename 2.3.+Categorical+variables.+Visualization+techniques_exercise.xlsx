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5"/>
  <workbookPr filterPrivacy="1"/>
  <xr:revisionPtr revIDLastSave="0" documentId="13_ncr:1_{1F6D11FC-E1C4-C047-89FC-D07AC222AAEB}" xr6:coauthVersionLast="47" xr6:coauthVersionMax="47" xr10:uidLastSave="{00000000-0000-0000-0000-000000000000}"/>
  <bookViews>
    <workbookView xWindow="0" yWindow="600" windowWidth="28800" windowHeight="15900" activeTab="3" xr2:uid="{00000000-000D-0000-FFFF-FFFF00000000}"/>
  </bookViews>
  <sheets>
    <sheet name="Frequency distribution table" sheetId="4" r:id="rId1"/>
    <sheet name="Bar chart" sheetId="8" r:id="rId2"/>
    <sheet name="Pie chart" sheetId="7" r:id="rId3"/>
    <sheet name="Pareto diagram" sheetId="12" r:id="rId4"/>
  </sheets>
  <externalReferences>
    <externalReference r:id="rId5"/>
  </externalReferences>
  <calcPr calcId="191029" iterateDelta="1E-4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2" l="1"/>
  <c r="G18" i="12"/>
  <c r="F18" i="12"/>
  <c r="F19" i="12"/>
  <c r="G17" i="12"/>
  <c r="F17" i="12"/>
  <c r="D20" i="12"/>
  <c r="E19" i="12" s="1"/>
  <c r="F17" i="7"/>
  <c r="F16" i="7"/>
  <c r="F15" i="7"/>
  <c r="F14" i="7"/>
  <c r="E17" i="7"/>
  <c r="E15" i="8"/>
  <c r="E18" i="12" l="1"/>
  <c r="E17" i="12"/>
  <c r="E20" i="12" l="1"/>
  <c r="K10" i="4" l="1"/>
</calcChain>
</file>

<file path=xl/sharedStrings.xml><?xml version="1.0" encoding="utf-8"?>
<sst xmlns="http://schemas.openxmlformats.org/spreadsheetml/2006/main" count="61" uniqueCount="31">
  <si>
    <t>Background</t>
  </si>
  <si>
    <t>Data</t>
  </si>
  <si>
    <t>Ice cream shop</t>
  </si>
  <si>
    <t>There is an ice cream shop, that is operating in New York, LA and San Francisco.</t>
  </si>
  <si>
    <t>Task</t>
  </si>
  <si>
    <t>Order the data in a frequency distribution table.</t>
  </si>
  <si>
    <t>You have a frequency distribution table with all the sales.</t>
  </si>
  <si>
    <t>Task 1</t>
  </si>
  <si>
    <t>Task 2</t>
  </si>
  <si>
    <t>Create a pie chart, representing the share of each city to the sales of your company.</t>
  </si>
  <si>
    <t>Create a new column in your table, representing the relative frequency of input. You can choose to express it in percentages or as a decimal.</t>
  </si>
  <si>
    <t>Create a bar chart, representing the data. Note that in Excel, the term for a bar charts are called both:  'column charts' and 'bar charts'.</t>
  </si>
  <si>
    <t>You have a frequency distribution table with all the sales. You also have the relative frequency from the pie chart problem.</t>
  </si>
  <si>
    <t>Order the table by frequency.</t>
  </si>
  <si>
    <t>Create a bar (column) chart representing the ordered data.</t>
  </si>
  <si>
    <t>Task 3</t>
  </si>
  <si>
    <t xml:space="preserve">In a new column, calculate the cumulative frequency of the data. </t>
  </si>
  <si>
    <t>Task 4</t>
  </si>
  <si>
    <t>On a second axis in the same chart, represent the cumulative frequency of the data.</t>
  </si>
  <si>
    <t>Note: You may solve these problems both on paper or in a software of your choice. The medium is not crucial.</t>
  </si>
  <si>
    <t>Categorical variables. Visualization techniques</t>
  </si>
  <si>
    <t>You have sold 12,327 ice creams in New York; 17,129 in LA and 19,923 in San Francisco.</t>
  </si>
  <si>
    <t>Icecream shop</t>
  </si>
  <si>
    <t>Location</t>
  </si>
  <si>
    <t>Newyork</t>
  </si>
  <si>
    <t>La</t>
  </si>
  <si>
    <t>San Francisco</t>
  </si>
  <si>
    <t>frequency distribution</t>
  </si>
  <si>
    <t>percentage</t>
  </si>
  <si>
    <t>relative frequency</t>
  </si>
  <si>
    <t>cummukative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</si>
</sst>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9"/>
      <color theme="1"/>
      <name val="Arial"/>
      <family val="2"/>
    </font>
    <font>
      <i/>
      <sz val="9"/>
      <color rgb="FF00206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right"/>
    </xf>
    <xf numFmtId="9" fontId="4" fillId="2" borderId="0" xfId="1" applyFont="1" applyFill="1" applyBorder="1"/>
    <xf numFmtId="0" fontId="6" fillId="2" borderId="0" xfId="0" applyFont="1" applyFill="1"/>
    <xf numFmtId="9" fontId="4" fillId="2" borderId="0" xfId="0" applyNumberFormat="1" applyFont="1" applyFill="1"/>
    <xf numFmtId="2" fontId="4" fillId="2" borderId="0" xfId="0" applyNumberFormat="1" applyFont="1" applyFill="1"/>
    <xf numFmtId="0" fontId="5" fillId="2" borderId="0" xfId="0" applyFont="1" applyFill="1"/>
    <xf numFmtId="0" fontId="4" fillId="2" borderId="2" xfId="0" applyFont="1" applyFill="1" applyBorder="1"/>
    <xf numFmtId="0" fontId="4" fillId="2" borderId="3" xfId="0" applyFont="1" applyFill="1" applyBorder="1"/>
    <xf numFmtId="3" fontId="4" fillId="2" borderId="5" xfId="0" applyNumberFormat="1" applyFont="1" applyFill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4" fillId="2" borderId="1" xfId="0" applyFont="1" applyFill="1" applyBorder="1"/>
    <xf numFmtId="3" fontId="4" fillId="2" borderId="1" xfId="0" applyNumberFormat="1" applyFont="1" applyFill="1" applyBorder="1"/>
    <xf numFmtId="1" fontId="4" fillId="2" borderId="5" xfId="0" applyNumberFormat="1" applyFont="1" applyFill="1" applyBorder="1"/>
    <xf numFmtId="1" fontId="4" fillId="2" borderId="6" xfId="0" applyNumberFormat="1" applyFont="1" applyFill="1" applyBorder="1"/>
    <xf numFmtId="0" fontId="4" fillId="2" borderId="0" xfId="0" applyFont="1" applyFill="1" applyBorder="1"/>
    <xf numFmtId="1" fontId="4" fillId="2" borderId="4" xfId="0" applyNumberFormat="1" applyFont="1" applyFill="1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FF5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chart'!$E$11</c:f>
              <c:strCache>
                <c:ptCount val="1"/>
                <c:pt idx="0">
                  <c:v>frequency distribution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chart'!$D$12:$D$14</c:f>
              <c:strCache>
                <c:ptCount val="3"/>
                <c:pt idx="0">
                  <c:v>Newyork</c:v>
                </c:pt>
                <c:pt idx="1">
                  <c:v>La</c:v>
                </c:pt>
                <c:pt idx="2">
                  <c:v>San Francisco</c:v>
                </c:pt>
              </c:strCache>
            </c:strRef>
          </c:cat>
          <c:val>
            <c:numRef>
              <c:f>'Bar chart'!$E$12:$E$14</c:f>
              <c:numCache>
                <c:formatCode>General</c:formatCode>
                <c:ptCount val="3"/>
                <c:pt idx="0" formatCode="#,##0">
                  <c:v>12327</c:v>
                </c:pt>
                <c:pt idx="1">
                  <c:v>17129</c:v>
                </c:pt>
                <c:pt idx="2">
                  <c:v>19923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2C-714D-A71C-BA03AA18010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902332416"/>
        <c:axId val="902345856"/>
      </c:barChart>
      <c:catAx>
        <c:axId val="9023324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345856"/>
        <c:crosses val="autoZero"/>
        <c:auto val="1"/>
        <c:lblAlgn val="ctr"/>
        <c:lblOffset val="100"/>
        <c:noMultiLvlLbl val="0"/>
      </c:catAx>
      <c:valAx>
        <c:axId val="9023458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33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chart'!$F$13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chart'!$D$14:$D$16</c:f>
              <c:strCache>
                <c:ptCount val="3"/>
                <c:pt idx="0">
                  <c:v>Newyork</c:v>
                </c:pt>
                <c:pt idx="1">
                  <c:v>La</c:v>
                </c:pt>
                <c:pt idx="2">
                  <c:v>San Francisco</c:v>
                </c:pt>
              </c:strCache>
            </c:strRef>
          </c:cat>
          <c:val>
            <c:numRef>
              <c:f>'Pie chart'!$F$14:$F$16</c:f>
              <c:numCache>
                <c:formatCode>General</c:formatCode>
                <c:ptCount val="3"/>
                <c:pt idx="0">
                  <c:v>0.24964053545029263</c:v>
                </c:pt>
                <c:pt idx="1">
                  <c:v>0.34688835334858947</c:v>
                </c:pt>
                <c:pt idx="2">
                  <c:v>0.40347111120111789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7-8348-8132-0C7932FC309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00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00" b="1" i="0" u="none" strike="noStrike" kern="120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Sales</a:t>
            </a:r>
          </a:p>
        </c:rich>
      </c:tx>
      <c:layout>
        <c:manualLayout>
          <c:xMode val="edge"/>
          <c:yMode val="edge"/>
          <c:x val="0.11166242087386134"/>
          <c:y val="3.99933659298510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000" b="1" i="0" u="none" strike="noStrike" kern="1200" spc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'[1]Pareto diagram'!$B$13:$B$15</c:f>
              <c:strCache>
                <c:ptCount val="3"/>
                <c:pt idx="0">
                  <c:v>San Francisco</c:v>
                </c:pt>
                <c:pt idx="1">
                  <c:v>LA</c:v>
                </c:pt>
                <c:pt idx="2">
                  <c:v>New York</c:v>
                </c:pt>
              </c:strCache>
            </c:strRef>
          </c:cat>
          <c:val>
            <c:numRef>
              <c:f>'[1]Pareto diagram'!$C$13:$C$15</c:f>
              <c:numCache>
                <c:formatCode>_(* #,##0_);_(* \(#,##0\);_(* "-"??_);_(@_)</c:formatCode>
                <c:ptCount val="3"/>
                <c:pt idx="0">
                  <c:v>19923</c:v>
                </c:pt>
                <c:pt idx="1">
                  <c:v>17129</c:v>
                </c:pt>
                <c:pt idx="2">
                  <c:v>12327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C-1241-971D-656BFCFA0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9"/>
        <c:overlap val="-27"/>
        <c:axId val="379377088"/>
        <c:axId val="379373480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'[1]Pareto diagram'!$B$13:$B$15</c:f>
              <c:strCache>
                <c:ptCount val="3"/>
                <c:pt idx="0">
                  <c:v>San Francisco</c:v>
                </c:pt>
                <c:pt idx="1">
                  <c:v>LA</c:v>
                </c:pt>
                <c:pt idx="2">
                  <c:v>New York</c:v>
                </c:pt>
              </c:strCache>
            </c:strRef>
          </c:cat>
          <c:val>
            <c:numRef>
              <c:f>'[1]Pareto diagram'!$E$13:$E$15</c:f>
              <c:numCache>
                <c:formatCode>0%</c:formatCode>
                <c:ptCount val="3"/>
                <c:pt idx="0">
                  <c:v>0.40347111120111789</c:v>
                </c:pt>
                <c:pt idx="1">
                  <c:v>0.75035946454970737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8C-1241-971D-656BFCFA0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378072"/>
        <c:axId val="379377416"/>
      </c:lineChart>
      <c:catAx>
        <c:axId val="37937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9373480"/>
        <c:crosses val="autoZero"/>
        <c:auto val="1"/>
        <c:lblAlgn val="ctr"/>
        <c:lblOffset val="100"/>
        <c:noMultiLvlLbl val="0"/>
      </c:catAx>
      <c:valAx>
        <c:axId val="379373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900" b="1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9377088"/>
        <c:crosses val="autoZero"/>
        <c:crossBetween val="between"/>
        <c:minorUnit val="200"/>
      </c:valAx>
      <c:valAx>
        <c:axId val="379377416"/>
        <c:scaling>
          <c:orientation val="minMax"/>
          <c:max val="1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9378072"/>
        <c:crosses val="max"/>
        <c:crossBetween val="between"/>
      </c:valAx>
      <c:catAx>
        <c:axId val="379378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9377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361950</xdr:colOff>
      <xdr:row>8</xdr:row>
      <xdr:rowOff>63500</xdr:rowOff>
    </xdr:from>
    <xdr:to>
      <xdr:col>13</xdr:col>
      <xdr:colOff>222250</xdr:colOff>
      <xdr:row>26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232D64-EE35-EB1D-6EAA-32FF4EE03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666750</xdr:colOff>
      <xdr:row>11</xdr:row>
      <xdr:rowOff>63500</xdr:rowOff>
    </xdr:from>
    <xdr:to>
      <xdr:col>13</xdr:col>
      <xdr:colOff>527050</xdr:colOff>
      <xdr:row>29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4A1360-6388-9F09-1A15-AB97022F3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</xdr:colOff>
      <xdr:row>11</xdr:row>
      <xdr:rowOff>114300</xdr:rowOff>
    </xdr:from>
    <xdr:to>
      <xdr:col>15</xdr:col>
      <xdr:colOff>520204</xdr:colOff>
      <xdr:row>29</xdr:row>
      <xdr:rowOff>21547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3EECA1-1944-FD4F-8544-E6A4D2272F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ivekkumar/Downloads/2.3.+Categorical+variables.+Visualization+techniques_exercise_solution.xlsx" TargetMode="External"/><Relationship Id="rId1" Type="http://schemas.openxmlformats.org/officeDocument/2006/relationships/externalLinkPath" Target="2.3.+Categorical+variables.+Visualization+techniques_exercise_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equency distribution table"/>
      <sheetName val="Bar chart"/>
      <sheetName val="Pie chart"/>
      <sheetName val="Pareto diagram"/>
    </sheetNames>
    <sheetDataSet>
      <sheetData sheetId="0"/>
      <sheetData sheetId="1"/>
      <sheetData sheetId="2"/>
      <sheetData sheetId="3">
        <row r="13">
          <cell r="B13" t="str">
            <v>San Francisco</v>
          </cell>
          <cell r="C13">
            <v>19923</v>
          </cell>
          <cell r="E13">
            <v>0.40347111120111789</v>
          </cell>
        </row>
        <row r="14">
          <cell r="B14" t="str">
            <v>LA</v>
          </cell>
          <cell r="C14">
            <v>17129</v>
          </cell>
          <cell r="E14">
            <v>0.75035946454970737</v>
          </cell>
        </row>
        <row r="15">
          <cell r="B15" t="str">
            <v>New York</v>
          </cell>
          <cell r="C15">
            <v>12327</v>
          </cell>
          <cell r="E15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7"/>
  <sheetViews>
    <sheetView zoomScaleNormal="100" workbookViewId="0">
      <selection activeCell="J4" sqref="J4:K11"/>
    </sheetView>
  </sheetViews>
  <sheetFormatPr baseColWidth="10" defaultColWidth="8.83203125" defaultRowHeight="12" x14ac:dyDescent="0.15"/>
  <cols>
    <col min="1" max="1" width="2" style="3" customWidth="1"/>
    <col min="2" max="2" width="12.5" style="3" customWidth="1"/>
    <col min="3" max="3" width="10.1640625" style="3" customWidth="1"/>
    <col min="4" max="4" width="15.83203125" style="3" bestFit="1" customWidth="1"/>
    <col min="5" max="9" width="8.83203125" style="3"/>
    <col min="10" max="10" width="11" style="3" bestFit="1" customWidth="1"/>
    <col min="11" max="12" width="16" style="3" bestFit="1" customWidth="1"/>
    <col min="13" max="16384" width="8.83203125" style="3"/>
  </cols>
  <sheetData>
    <row r="1" spans="2:11" ht="16" x14ac:dyDescent="0.2">
      <c r="B1" s="1" t="s">
        <v>20</v>
      </c>
    </row>
    <row r="2" spans="2:11" x14ac:dyDescent="0.15">
      <c r="B2" s="2" t="s">
        <v>2</v>
      </c>
    </row>
    <row r="4" spans="2:11" x14ac:dyDescent="0.15">
      <c r="B4" s="3" t="s">
        <v>19</v>
      </c>
    </row>
    <row r="5" spans="2:11" ht="13" thickBot="1" x14ac:dyDescent="0.2">
      <c r="K5" s="3" t="s">
        <v>22</v>
      </c>
    </row>
    <row r="6" spans="2:11" ht="13" thickBot="1" x14ac:dyDescent="0.2">
      <c r="B6" s="2" t="s">
        <v>0</v>
      </c>
      <c r="C6" s="3" t="s">
        <v>3</v>
      </c>
      <c r="D6" s="4"/>
      <c r="J6" s="15" t="s">
        <v>23</v>
      </c>
      <c r="K6" s="16" t="s">
        <v>27</v>
      </c>
    </row>
    <row r="7" spans="2:11" x14ac:dyDescent="0.15">
      <c r="B7" s="2" t="s">
        <v>1</v>
      </c>
      <c r="C7" s="3" t="s">
        <v>21</v>
      </c>
      <c r="D7" s="5"/>
      <c r="J7" s="10" t="s">
        <v>24</v>
      </c>
      <c r="K7" s="12">
        <v>12327</v>
      </c>
    </row>
    <row r="8" spans="2:11" x14ac:dyDescent="0.15">
      <c r="B8" s="2" t="s">
        <v>4</v>
      </c>
      <c r="C8" s="3" t="s">
        <v>5</v>
      </c>
      <c r="D8" s="5"/>
      <c r="J8" s="10" t="s">
        <v>25</v>
      </c>
      <c r="K8" s="13">
        <v>17129</v>
      </c>
    </row>
    <row r="9" spans="2:11" ht="13" thickBot="1" x14ac:dyDescent="0.2">
      <c r="D9" s="5"/>
      <c r="J9" s="11" t="s">
        <v>26</v>
      </c>
      <c r="K9" s="14">
        <v>19923</v>
      </c>
    </row>
    <row r="10" spans="2:11" ht="13" thickBot="1" x14ac:dyDescent="0.2">
      <c r="K10" s="17">
        <f>SUM(K7:K9)</f>
        <v>49379</v>
      </c>
    </row>
    <row r="11" spans="2:11" x14ac:dyDescent="0.15">
      <c r="B11" s="2"/>
    </row>
    <row r="13" spans="2:11" x14ac:dyDescent="0.15">
      <c r="C13" s="4"/>
    </row>
    <row r="14" spans="2:11" x14ac:dyDescent="0.15">
      <c r="B14" s="2"/>
    </row>
    <row r="15" spans="2:11" x14ac:dyDescent="0.15">
      <c r="B15" s="2"/>
    </row>
    <row r="16" spans="2:11" x14ac:dyDescent="0.15">
      <c r="B16" s="2"/>
      <c r="D16" s="4"/>
    </row>
    <row r="17" spans="2:4" x14ac:dyDescent="0.15">
      <c r="B17" s="2"/>
      <c r="D17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17"/>
  <sheetViews>
    <sheetView zoomScaleNormal="100" workbookViewId="0">
      <selection activeCell="L34" sqref="L34"/>
    </sheetView>
  </sheetViews>
  <sheetFormatPr baseColWidth="10" defaultColWidth="8.83203125" defaultRowHeight="12" x14ac:dyDescent="0.15"/>
  <cols>
    <col min="1" max="1" width="2" style="3" customWidth="1"/>
    <col min="2" max="2" width="12.1640625" style="3" customWidth="1"/>
    <col min="3" max="3" width="10.1640625" style="3" customWidth="1"/>
    <col min="4" max="4" width="20.1640625" style="3" customWidth="1"/>
    <col min="5" max="5" width="16" style="3" bestFit="1" customWidth="1"/>
    <col min="6" max="16384" width="8.83203125" style="3"/>
  </cols>
  <sheetData>
    <row r="1" spans="2:5" ht="16" x14ac:dyDescent="0.2">
      <c r="B1" s="1" t="s">
        <v>20</v>
      </c>
    </row>
    <row r="2" spans="2:5" x14ac:dyDescent="0.15">
      <c r="B2" s="2" t="s">
        <v>2</v>
      </c>
    </row>
    <row r="4" spans="2:5" x14ac:dyDescent="0.15">
      <c r="B4" s="2" t="s">
        <v>0</v>
      </c>
      <c r="C4" s="3" t="s">
        <v>6</v>
      </c>
      <c r="D4" s="4"/>
    </row>
    <row r="5" spans="2:5" x14ac:dyDescent="0.15">
      <c r="B5" s="2" t="s">
        <v>4</v>
      </c>
      <c r="C5" s="3" t="s">
        <v>11</v>
      </c>
      <c r="D5" s="5"/>
    </row>
    <row r="6" spans="2:5" x14ac:dyDescent="0.15">
      <c r="D6" s="5"/>
    </row>
    <row r="7" spans="2:5" x14ac:dyDescent="0.15">
      <c r="D7" s="5"/>
    </row>
    <row r="8" spans="2:5" x14ac:dyDescent="0.15">
      <c r="B8" s="2"/>
    </row>
    <row r="10" spans="2:5" ht="13" thickBot="1" x14ac:dyDescent="0.2">
      <c r="C10" s="4"/>
      <c r="E10" s="3" t="s">
        <v>22</v>
      </c>
    </row>
    <row r="11" spans="2:5" ht="13" thickBot="1" x14ac:dyDescent="0.2">
      <c r="B11" s="2"/>
      <c r="D11" s="15" t="s">
        <v>23</v>
      </c>
      <c r="E11" s="16" t="s">
        <v>27</v>
      </c>
    </row>
    <row r="12" spans="2:5" x14ac:dyDescent="0.15">
      <c r="B12" s="2"/>
      <c r="D12" s="10" t="s">
        <v>24</v>
      </c>
      <c r="E12" s="12">
        <v>12327</v>
      </c>
    </row>
    <row r="13" spans="2:5" x14ac:dyDescent="0.15">
      <c r="B13" s="2"/>
      <c r="D13" s="10" t="s">
        <v>25</v>
      </c>
      <c r="E13" s="13">
        <v>17129</v>
      </c>
    </row>
    <row r="14" spans="2:5" ht="13" thickBot="1" x14ac:dyDescent="0.2">
      <c r="B14" s="2"/>
      <c r="D14" s="11" t="s">
        <v>26</v>
      </c>
      <c r="E14" s="14">
        <v>19923</v>
      </c>
    </row>
    <row r="15" spans="2:5" ht="13" thickBot="1" x14ac:dyDescent="0.2">
      <c r="E15" s="17">
        <f>SUM(E12:E14)</f>
        <v>49379</v>
      </c>
    </row>
    <row r="16" spans="2:5" x14ac:dyDescent="0.15">
      <c r="B16" s="6"/>
    </row>
    <row r="17" spans="2:4" x14ac:dyDescent="0.15">
      <c r="B17" s="6"/>
      <c r="D17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7"/>
  <sheetViews>
    <sheetView zoomScaleNormal="100" workbookViewId="0">
      <selection activeCell="D12" sqref="D12:F17"/>
    </sheetView>
  </sheetViews>
  <sheetFormatPr baseColWidth="10" defaultColWidth="8.83203125" defaultRowHeight="12" x14ac:dyDescent="0.15"/>
  <cols>
    <col min="1" max="1" width="2" style="3" customWidth="1"/>
    <col min="2" max="2" width="12.6640625" style="3" customWidth="1"/>
    <col min="3" max="3" width="10.1640625" style="3" customWidth="1"/>
    <col min="4" max="4" width="20.1640625" style="3" customWidth="1"/>
    <col min="5" max="5" width="18.33203125" style="3" bestFit="1" customWidth="1"/>
    <col min="6" max="16384" width="8.83203125" style="3"/>
  </cols>
  <sheetData>
    <row r="1" spans="2:6" ht="16" x14ac:dyDescent="0.2">
      <c r="B1" s="1" t="s">
        <v>20</v>
      </c>
    </row>
    <row r="2" spans="2:6" x14ac:dyDescent="0.15">
      <c r="B2" s="2" t="s">
        <v>2</v>
      </c>
    </row>
    <row r="4" spans="2:6" x14ac:dyDescent="0.15">
      <c r="B4" s="2" t="s">
        <v>0</v>
      </c>
      <c r="C4" s="3" t="s">
        <v>6</v>
      </c>
      <c r="D4" s="4"/>
    </row>
    <row r="5" spans="2:6" x14ac:dyDescent="0.15">
      <c r="B5" s="2" t="s">
        <v>7</v>
      </c>
      <c r="C5" s="3" t="s">
        <v>10</v>
      </c>
      <c r="D5" s="5"/>
    </row>
    <row r="6" spans="2:6" x14ac:dyDescent="0.15">
      <c r="B6" s="2" t="s">
        <v>8</v>
      </c>
      <c r="C6" s="3" t="s">
        <v>9</v>
      </c>
    </row>
    <row r="9" spans="2:6" x14ac:dyDescent="0.15">
      <c r="B9" s="2"/>
      <c r="D9" s="5"/>
    </row>
    <row r="10" spans="2:6" x14ac:dyDescent="0.15">
      <c r="B10" s="2"/>
      <c r="D10" s="5"/>
    </row>
    <row r="11" spans="2:6" x14ac:dyDescent="0.15">
      <c r="C11" s="4"/>
      <c r="D11" s="4"/>
      <c r="E11" s="4"/>
    </row>
    <row r="12" spans="2:6" ht="13" thickBot="1" x14ac:dyDescent="0.2">
      <c r="B12" s="2"/>
      <c r="D12" s="5"/>
      <c r="E12" s="8"/>
    </row>
    <row r="13" spans="2:6" ht="13" thickBot="1" x14ac:dyDescent="0.2">
      <c r="B13" s="2"/>
      <c r="D13" s="15" t="s">
        <v>23</v>
      </c>
      <c r="E13" s="16" t="s">
        <v>27</v>
      </c>
      <c r="F13" s="3" t="s">
        <v>28</v>
      </c>
    </row>
    <row r="14" spans="2:6" x14ac:dyDescent="0.15">
      <c r="B14" s="2"/>
      <c r="D14" s="10" t="s">
        <v>24</v>
      </c>
      <c r="E14" s="12">
        <v>12327</v>
      </c>
      <c r="F14" s="3">
        <f>E14/E17</f>
        <v>0.24964053545029263</v>
      </c>
    </row>
    <row r="15" spans="2:6" x14ac:dyDescent="0.15">
      <c r="B15" s="2"/>
      <c r="D15" s="10" t="s">
        <v>25</v>
      </c>
      <c r="E15" s="13">
        <v>17129</v>
      </c>
      <c r="F15" s="3">
        <f>E15/E17</f>
        <v>0.34688835334858947</v>
      </c>
    </row>
    <row r="16" spans="2:6" ht="13" thickBot="1" x14ac:dyDescent="0.2">
      <c r="D16" s="11" t="s">
        <v>26</v>
      </c>
      <c r="E16" s="14">
        <v>19923</v>
      </c>
      <c r="F16" s="3">
        <f>E16/E17</f>
        <v>0.40347111120111789</v>
      </c>
    </row>
    <row r="17" spans="5:6" ht="13" thickBot="1" x14ac:dyDescent="0.2">
      <c r="E17" s="17">
        <f>SUM(E14:E16)</f>
        <v>49379</v>
      </c>
      <c r="F17" s="3">
        <f>SUM(F14:F16)</f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20"/>
  <sheetViews>
    <sheetView tabSelected="1" zoomScaleNormal="100" workbookViewId="0">
      <selection activeCell="L1" sqref="L1"/>
    </sheetView>
  </sheetViews>
  <sheetFormatPr baseColWidth="10" defaultColWidth="8.83203125" defaultRowHeight="12" x14ac:dyDescent="0.15"/>
  <cols>
    <col min="1" max="1" width="2" style="3" customWidth="1"/>
    <col min="2" max="2" width="12.1640625" style="3" customWidth="1"/>
    <col min="3" max="3" width="10.1640625" style="3" customWidth="1"/>
    <col min="4" max="4" width="18.1640625" style="3" customWidth="1"/>
    <col min="5" max="5" width="21.5" style="3" customWidth="1"/>
    <col min="6" max="6" width="13.5" style="3" bestFit="1" customWidth="1"/>
    <col min="7" max="7" width="17.6640625" style="3" bestFit="1" customWidth="1"/>
    <col min="8" max="16384" width="8.83203125" style="3"/>
  </cols>
  <sheetData>
    <row r="1" spans="2:8" ht="16" x14ac:dyDescent="0.2">
      <c r="B1" s="1" t="s">
        <v>20</v>
      </c>
    </row>
    <row r="2" spans="2:8" x14ac:dyDescent="0.15">
      <c r="B2" s="2" t="s">
        <v>2</v>
      </c>
    </row>
    <row r="4" spans="2:8" x14ac:dyDescent="0.15">
      <c r="B4" s="2" t="s">
        <v>0</v>
      </c>
      <c r="C4" s="3" t="s">
        <v>12</v>
      </c>
    </row>
    <row r="5" spans="2:8" x14ac:dyDescent="0.15">
      <c r="B5" s="2" t="s">
        <v>7</v>
      </c>
      <c r="C5" s="3" t="s">
        <v>13</v>
      </c>
    </row>
    <row r="6" spans="2:8" x14ac:dyDescent="0.15">
      <c r="B6" s="2" t="s">
        <v>8</v>
      </c>
      <c r="C6" s="3" t="s">
        <v>14</v>
      </c>
    </row>
    <row r="7" spans="2:8" x14ac:dyDescent="0.15">
      <c r="B7" s="2" t="s">
        <v>15</v>
      </c>
      <c r="C7" s="3" t="s">
        <v>16</v>
      </c>
    </row>
    <row r="8" spans="2:8" x14ac:dyDescent="0.15">
      <c r="B8" s="2" t="s">
        <v>17</v>
      </c>
      <c r="C8" s="3" t="s">
        <v>18</v>
      </c>
      <c r="D8" s="4"/>
    </row>
    <row r="9" spans="2:8" x14ac:dyDescent="0.15">
      <c r="B9" s="2"/>
      <c r="D9" s="5"/>
    </row>
    <row r="10" spans="2:8" x14ac:dyDescent="0.15">
      <c r="B10" s="2"/>
      <c r="D10" s="5"/>
    </row>
    <row r="11" spans="2:8" x14ac:dyDescent="0.15">
      <c r="B11" s="2"/>
      <c r="D11" s="5"/>
    </row>
    <row r="12" spans="2:8" x14ac:dyDescent="0.15">
      <c r="B12" s="9"/>
      <c r="C12" s="4"/>
      <c r="D12" s="4"/>
      <c r="E12" s="4"/>
    </row>
    <row r="13" spans="2:8" x14ac:dyDescent="0.15">
      <c r="B13" s="2"/>
      <c r="D13" s="7"/>
      <c r="E13" s="5"/>
    </row>
    <row r="14" spans="2:8" x14ac:dyDescent="0.15">
      <c r="B14" s="2"/>
      <c r="D14" s="7"/>
      <c r="E14" s="5"/>
      <c r="H14" s="20"/>
    </row>
    <row r="15" spans="2:8" ht="13" thickBot="1" x14ac:dyDescent="0.2">
      <c r="B15" s="2"/>
      <c r="C15" s="5"/>
      <c r="D15" s="8"/>
      <c r="G15" s="20"/>
      <c r="H15" s="20"/>
    </row>
    <row r="16" spans="2:8" ht="13" thickBot="1" x14ac:dyDescent="0.2">
      <c r="B16" s="2"/>
      <c r="C16" s="15" t="s">
        <v>23</v>
      </c>
      <c r="D16" s="16" t="s">
        <v>27</v>
      </c>
      <c r="E16" s="16" t="s">
        <v>28</v>
      </c>
      <c r="F16" s="16" t="s">
        <v>29</v>
      </c>
      <c r="G16" s="16" t="s">
        <v>30</v>
      </c>
      <c r="H16" s="20"/>
    </row>
    <row r="17" spans="3:8" x14ac:dyDescent="0.15">
      <c r="C17" s="10" t="s">
        <v>24</v>
      </c>
      <c r="D17" s="12">
        <v>12327</v>
      </c>
      <c r="E17" s="13">
        <f>D17/D20</f>
        <v>0.24964053545029263</v>
      </c>
      <c r="F17" s="18">
        <f>E17*100</f>
        <v>24.964053545029262</v>
      </c>
      <c r="G17" s="21">
        <f>F17</f>
        <v>24.964053545029262</v>
      </c>
      <c r="H17" s="20"/>
    </row>
    <row r="18" spans="3:8" x14ac:dyDescent="0.15">
      <c r="C18" s="10" t="s">
        <v>25</v>
      </c>
      <c r="D18" s="13">
        <v>17129</v>
      </c>
      <c r="E18" s="13">
        <f>D18/D20</f>
        <v>0.34688835334858947</v>
      </c>
      <c r="F18" s="18">
        <f t="shared" ref="F18:F19" si="0">E18*100</f>
        <v>34.68883533485895</v>
      </c>
      <c r="G18" s="18">
        <f>F18+G17</f>
        <v>59.652888879888209</v>
      </c>
      <c r="H18" s="20"/>
    </row>
    <row r="19" spans="3:8" ht="13" thickBot="1" x14ac:dyDescent="0.2">
      <c r="C19" s="11" t="s">
        <v>26</v>
      </c>
      <c r="D19" s="14">
        <v>19923</v>
      </c>
      <c r="E19" s="14">
        <f>D19/D20</f>
        <v>0.40347111120111789</v>
      </c>
      <c r="F19" s="19">
        <f t="shared" si="0"/>
        <v>40.347111120111791</v>
      </c>
      <c r="G19" s="19">
        <f>F19+G18</f>
        <v>100</v>
      </c>
    </row>
    <row r="20" spans="3:8" ht="13" thickBot="1" x14ac:dyDescent="0.2">
      <c r="D20" s="17">
        <f>SUM(D17:D19)</f>
        <v>49379</v>
      </c>
      <c r="E20" s="3">
        <f>SUM(E17:E19)</f>
        <v>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Frequency distribution table</vt:lpstr>
      <vt:lpstr>Bar chart</vt:lpstr>
      <vt:lpstr>Pie chart</vt:lpstr>
      <vt:lpstr>Pareto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2026-06-02T18:59:03Z</dcterms:modified>
</cp:coreProperties>
</file>